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"/>
    </mc:Choice>
  </mc:AlternateContent>
  <xr:revisionPtr revIDLastSave="0" documentId="13_ncr:1_{145DCE33-5F2F-4C06-A551-FFAAE34EFAC5}" xr6:coauthVersionLast="47" xr6:coauthVersionMax="47" xr10:uidLastSave="{00000000-0000-0000-0000-000000000000}"/>
  <bookViews>
    <workbookView xWindow="-108" yWindow="-108" windowWidth="23256" windowHeight="12456" tabRatio="516" xr2:uid="{D01CB90D-ADF5-41EE-A072-5773BEF37936}"/>
  </bookViews>
  <sheets>
    <sheet name="APP" sheetId="1" r:id="rId1"/>
    <sheet name="CHAVE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5" i="1"/>
  <c r="C36" i="1"/>
  <c r="C37" i="1"/>
  <c r="C38" i="1"/>
  <c r="C39" i="1"/>
  <c r="C40" i="1"/>
  <c r="G3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2" i="1"/>
  <c r="D20" i="1"/>
  <c r="D21" i="1" s="1"/>
  <c r="C25" i="1"/>
  <c r="D25" i="1" s="1"/>
  <c r="C26" i="1"/>
  <c r="D26" i="1" s="1"/>
  <c r="C27" i="1"/>
  <c r="D27" i="1" s="1"/>
  <c r="C28" i="1"/>
  <c r="D28" i="1" s="1"/>
  <c r="C24" i="1"/>
  <c r="D24" i="1" s="1"/>
  <c r="D35" i="1" l="1"/>
  <c r="D36" i="1"/>
  <c r="D37" i="1"/>
  <c r="D38" i="1"/>
  <c r="D39" i="1"/>
  <c r="D40" i="1"/>
  <c r="D41" i="1" l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<sst xmlns="http://schemas.openxmlformats.org/spreadsheetml/2006/main" count="71" uniqueCount="34">
  <si>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</si>
  <si>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</si>
  <si>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</si>
  <si>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Patrimônio acumulado?</t>
  </si>
  <si>
    <t>Dividendo Mensais?</t>
  </si>
  <si>
    <t>INVESTIMENTO MENSAL</t>
  </si>
  <si>
    <t>Cenários</t>
  </si>
  <si>
    <t>Dividendo</t>
  </si>
  <si>
    <t>Quantos em 2 anos?</t>
  </si>
  <si>
    <t>Quantos em 5 anos?</t>
  </si>
  <si>
    <t>Quantos em 10 anos?</t>
  </si>
  <si>
    <t>Quantos em 20 anos?</t>
  </si>
  <si>
    <t>Quantos em 30 anos?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</si>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</sst>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0"/>
      <name val="Segoe UI Variable Text Semibold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3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 Variable Text Semibold"/>
    </font>
    <font>
      <b/>
      <sz val="18"/>
      <color theme="3"/>
      <name val="Segoe UI Variable Text Semibold"/>
    </font>
    <font>
      <b/>
      <sz val="11"/>
      <color theme="3" tint="9.9978637043366805E-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14996795556505021"/>
      </top>
      <bottom style="medium">
        <color theme="0" tint="-0.2499465926084170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7" fillId="5" borderId="0" applyNumberFormat="0" applyBorder="0" applyAlignment="0" applyProtection="0"/>
  </cellStyleXfs>
  <cellXfs count="72"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7" fillId="0" borderId="0" xfId="0" applyFont="1"/>
    <xf numFmtId="0" fontId="11" fillId="6" borderId="12" xfId="0" applyFont="1" applyFill="1" applyBorder="1" applyAlignment="1">
      <alignment horizontal="left" indent="3"/>
    </xf>
    <xf numFmtId="164" fontId="12" fillId="6" borderId="10" xfId="0" applyNumberFormat="1" applyFont="1" applyFill="1" applyBorder="1" applyAlignment="1">
      <alignment horizontal="center"/>
    </xf>
    <xf numFmtId="164" fontId="12" fillId="6" borderId="13" xfId="0" applyNumberFormat="1" applyFont="1" applyFill="1" applyBorder="1" applyAlignment="1">
      <alignment horizontal="center"/>
    </xf>
    <xf numFmtId="0" fontId="11" fillId="6" borderId="14" xfId="0" applyFont="1" applyFill="1" applyBorder="1" applyAlignment="1">
      <alignment horizontal="left" indent="3"/>
    </xf>
    <xf numFmtId="164" fontId="12" fillId="6" borderId="11" xfId="0" applyNumberFormat="1" applyFont="1" applyFill="1" applyBorder="1" applyAlignment="1">
      <alignment horizontal="center"/>
    </xf>
    <xf numFmtId="164" fontId="12" fillId="6" borderId="15" xfId="0" applyNumberFormat="1" applyFont="1" applyFill="1" applyBorder="1" applyAlignment="1">
      <alignment horizontal="center"/>
    </xf>
    <xf numFmtId="0" fontId="11" fillId="6" borderId="16" xfId="0" applyFont="1" applyFill="1" applyBorder="1" applyAlignment="1">
      <alignment horizontal="left" indent="3"/>
    </xf>
    <xf numFmtId="164" fontId="12" fillId="6" borderId="17" xfId="0" applyNumberFormat="1" applyFont="1" applyFill="1" applyBorder="1" applyAlignment="1">
      <alignment horizontal="center"/>
    </xf>
    <xf numFmtId="164" fontId="12" fillId="6" borderId="18" xfId="0" applyNumberFormat="1" applyFont="1" applyFill="1" applyBorder="1" applyAlignment="1">
      <alignment horizontal="center"/>
    </xf>
    <xf numFmtId="0" fontId="11" fillId="7" borderId="21" xfId="0" applyFont="1" applyFill="1" applyBorder="1" applyAlignment="1">
      <alignment horizontal="left" indent="3"/>
    </xf>
    <xf numFmtId="0" fontId="11" fillId="7" borderId="19" xfId="0" applyFont="1" applyFill="1" applyBorder="1" applyAlignment="1">
      <alignment horizontal="left" indent="3"/>
    </xf>
    <xf numFmtId="164" fontId="12" fillId="0" borderId="28" xfId="0" applyNumberFormat="1" applyFont="1" applyBorder="1" applyAlignment="1">
      <alignment horizontal="center"/>
    </xf>
    <xf numFmtId="0" fontId="11" fillId="7" borderId="23" xfId="0" applyFont="1" applyFill="1" applyBorder="1" applyAlignment="1">
      <alignment horizontal="left" indent="3"/>
    </xf>
    <xf numFmtId="0" fontId="11" fillId="7" borderId="20" xfId="0" applyFont="1" applyFill="1" applyBorder="1" applyAlignment="1">
      <alignment horizontal="left" indent="3"/>
    </xf>
    <xf numFmtId="10" fontId="12" fillId="0" borderId="24" xfId="0" applyNumberFormat="1" applyFont="1" applyBorder="1" applyAlignment="1">
      <alignment horizontal="center"/>
    </xf>
    <xf numFmtId="0" fontId="11" fillId="7" borderId="25" xfId="0" applyFont="1" applyFill="1" applyBorder="1" applyAlignment="1">
      <alignment horizontal="left" indent="3"/>
    </xf>
    <xf numFmtId="0" fontId="11" fillId="7" borderId="26" xfId="0" applyFont="1" applyFill="1" applyBorder="1" applyAlignment="1">
      <alignment horizontal="left" indent="3"/>
    </xf>
    <xf numFmtId="164" fontId="12" fillId="7" borderId="27" xfId="0" applyNumberFormat="1" applyFont="1" applyFill="1" applyBorder="1" applyAlignment="1">
      <alignment horizontal="center"/>
    </xf>
    <xf numFmtId="0" fontId="11" fillId="7" borderId="21" xfId="0" applyFont="1" applyFill="1" applyBorder="1" applyAlignment="1">
      <alignment horizontal="left" vertical="center" indent="3"/>
    </xf>
    <xf numFmtId="0" fontId="11" fillId="7" borderId="19" xfId="0" applyFont="1" applyFill="1" applyBorder="1" applyAlignment="1">
      <alignment horizontal="left" vertical="center" indent="3"/>
    </xf>
    <xf numFmtId="164" fontId="13" fillId="0" borderId="22" xfId="1" applyNumberFormat="1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left" vertical="center" indent="3"/>
    </xf>
    <xf numFmtId="0" fontId="11" fillId="7" borderId="20" xfId="0" applyFont="1" applyFill="1" applyBorder="1" applyAlignment="1">
      <alignment horizontal="left" vertical="center" indent="3"/>
    </xf>
    <xf numFmtId="0" fontId="14" fillId="0" borderId="24" xfId="0" applyFont="1" applyBorder="1" applyAlignment="1">
      <alignment horizontal="center" vertical="center"/>
    </xf>
    <xf numFmtId="10" fontId="13" fillId="0" borderId="24" xfId="0" applyNumberFormat="1" applyFont="1" applyBorder="1" applyAlignment="1">
      <alignment horizontal="center" vertical="center"/>
    </xf>
    <xf numFmtId="0" fontId="15" fillId="2" borderId="23" xfId="0" applyFont="1" applyFill="1" applyBorder="1" applyAlignment="1">
      <alignment horizontal="left" vertical="center" indent="3"/>
    </xf>
    <xf numFmtId="0" fontId="15" fillId="2" borderId="20" xfId="0" applyFont="1" applyFill="1" applyBorder="1" applyAlignment="1">
      <alignment horizontal="left" vertical="center" indent="3"/>
    </xf>
    <xf numFmtId="8" fontId="13" fillId="2" borderId="24" xfId="0" applyNumberFormat="1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left" vertical="center" indent="3"/>
    </xf>
    <xf numFmtId="0" fontId="15" fillId="2" borderId="26" xfId="0" applyFont="1" applyFill="1" applyBorder="1" applyAlignment="1">
      <alignment horizontal="left" vertical="center" indent="3"/>
    </xf>
    <xf numFmtId="8" fontId="13" fillId="2" borderId="27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8" fillId="9" borderId="1" xfId="3" applyFont="1" applyFill="1" applyBorder="1" applyAlignment="1">
      <alignment horizontal="center"/>
    </xf>
    <xf numFmtId="0" fontId="18" fillId="9" borderId="3" xfId="3" applyFont="1" applyFill="1" applyBorder="1" applyAlignment="1">
      <alignment horizontal="center"/>
    </xf>
    <xf numFmtId="0" fontId="18" fillId="9" borderId="2" xfId="3" applyFont="1" applyFill="1" applyBorder="1" applyAlignment="1">
      <alignment horizontal="center"/>
    </xf>
    <xf numFmtId="0" fontId="2" fillId="7" borderId="5" xfId="0" applyFont="1" applyFill="1" applyBorder="1"/>
    <xf numFmtId="164" fontId="2" fillId="7" borderId="0" xfId="0" applyNumberFormat="1" applyFont="1" applyFill="1" applyBorder="1" applyAlignment="1">
      <alignment horizontal="center"/>
    </xf>
    <xf numFmtId="164" fontId="2" fillId="7" borderId="6" xfId="0" applyNumberFormat="1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8" borderId="0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164" fontId="0" fillId="7" borderId="6" xfId="0" applyNumberFormat="1" applyFill="1" applyBorder="1" applyAlignment="1">
      <alignment horizontal="center"/>
    </xf>
    <xf numFmtId="0" fontId="7" fillId="8" borderId="7" xfId="0" applyFont="1" applyFill="1" applyBorder="1"/>
    <xf numFmtId="0" fontId="7" fillId="8" borderId="8" xfId="0" applyFont="1" applyFill="1" applyBorder="1"/>
    <xf numFmtId="164" fontId="6" fillId="8" borderId="9" xfId="0" applyNumberFormat="1" applyFont="1" applyFill="1" applyBorder="1"/>
    <xf numFmtId="0" fontId="9" fillId="8" borderId="1" xfId="0" applyFont="1" applyFill="1" applyBorder="1"/>
    <xf numFmtId="0" fontId="9" fillId="8" borderId="3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8" fillId="5" borderId="4" xfId="4" applyFont="1" applyBorder="1"/>
    <xf numFmtId="9" fontId="8" fillId="5" borderId="4" xfId="4" applyNumberFormat="1" applyFont="1" applyBorder="1"/>
    <xf numFmtId="0" fontId="4" fillId="3" borderId="0" xfId="2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/>
    </xf>
  </cellXfs>
  <cellStyles count="5">
    <cellStyle name="Bom" xfId="2" builtinId="26"/>
    <cellStyle name="Ênfase1" xfId="4" builtinId="29"/>
    <cellStyle name="Moeda" xfId="1" builtinId="4"/>
    <cellStyle name="Neutro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tint val="4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4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4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tint val="8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8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shade val="8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8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8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4">
                      <a:shade val="4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4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4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APP!$B$35:$B$41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APP!$C$35:$C$41</c:f>
              <c:numCache>
                <c:formatCode>0%</c:formatCode>
                <c:ptCount val="7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4-4F1B-B192-FC7FA3DCF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7620</xdr:rowOff>
    </xdr:from>
    <xdr:to>
      <xdr:col>7</xdr:col>
      <xdr:colOff>0</xdr:colOff>
      <xdr:row>8</xdr:row>
      <xdr:rowOff>111530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9BF99D7-4E4E-DB47-FF3F-464372BEB8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5853" t="5362" r="34316" b="13637"/>
        <a:stretch>
          <a:fillRect/>
        </a:stretch>
      </xdr:blipFill>
      <xdr:spPr>
        <a:xfrm rot="16200000">
          <a:off x="2603615" y="-2595995"/>
          <a:ext cx="1566950" cy="6774180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41</xdr:row>
      <xdr:rowOff>110490</xdr:rowOff>
    </xdr:from>
    <xdr:to>
      <xdr:col>4</xdr:col>
      <xdr:colOff>15240</xdr:colOff>
      <xdr:row>58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D84F62-AE98-0C4D-1342-855D6BD82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D420-7AE0-49A5-9BC8-5B25F0CD9036}">
  <sheetPr>
    <pageSetUpPr autoPageBreaks="0"/>
  </sheetPr>
  <dimension ref="A10:H41"/>
  <sheetViews>
    <sheetView showGridLines="0" tabSelected="1" zoomScaleNormal="100" workbookViewId="0">
      <selection activeCell="F40" sqref="F40"/>
    </sheetView>
  </sheetViews>
  <sheetFormatPr defaultColWidth="0" defaultRowHeight="14.4" x14ac:dyDescent="0.3"/>
  <cols>
    <col min="1" max="1" width="8.88671875" customWidth="1"/>
    <col min="2" max="2" width="38.5546875" customWidth="1"/>
    <col min="3" max="3" width="28.77734375" bestFit="1" customWidth="1"/>
    <col min="4" max="4" width="14.109375" customWidth="1"/>
    <col min="5" max="6" width="2.88671875" customWidth="1"/>
    <col min="7" max="7" width="2.6640625" customWidth="1"/>
    <col min="8" max="8" width="3.21875" hidden="1" customWidth="1"/>
    <col min="9" max="11" width="8.88671875" hidden="1" customWidth="1"/>
    <col min="12" max="16384" width="8.88671875" hidden="1"/>
  </cols>
  <sheetData>
    <row r="10" spans="2:4" ht="15" thickBot="1" x14ac:dyDescent="0.35"/>
    <row r="11" spans="2:4" ht="24" customHeight="1" thickBot="1" x14ac:dyDescent="0.35">
      <c r="B11" s="43" t="s">
        <v>15</v>
      </c>
      <c r="C11" s="44"/>
      <c r="D11" s="45"/>
    </row>
    <row r="12" spans="2:4" ht="19.8" thickBot="1" x14ac:dyDescent="0.5">
      <c r="B12" s="15" t="s">
        <v>14</v>
      </c>
      <c r="C12" s="16"/>
      <c r="D12" s="17">
        <v>1621</v>
      </c>
    </row>
    <row r="13" spans="2:4" ht="19.8" thickBot="1" x14ac:dyDescent="0.5">
      <c r="B13" s="18" t="s">
        <v>13</v>
      </c>
      <c r="C13" s="19"/>
      <c r="D13" s="20">
        <v>6.0000000000000001E-3</v>
      </c>
    </row>
    <row r="14" spans="2:4" ht="19.8" thickBot="1" x14ac:dyDescent="0.5">
      <c r="B14" s="21" t="s">
        <v>33</v>
      </c>
      <c r="C14" s="22"/>
      <c r="D14" s="23">
        <f>D12*30%</f>
        <v>486.29999999999995</v>
      </c>
    </row>
    <row r="15" spans="2:4" ht="15" thickBot="1" x14ac:dyDescent="0.35"/>
    <row r="16" spans="2:4" ht="24" customHeight="1" x14ac:dyDescent="0.3">
      <c r="B16" s="37" t="s">
        <v>5</v>
      </c>
      <c r="C16" s="38"/>
      <c r="D16" s="39"/>
    </row>
    <row r="17" spans="1:4" ht="19.8" thickBot="1" x14ac:dyDescent="0.35">
      <c r="B17" s="24" t="s">
        <v>0</v>
      </c>
      <c r="C17" s="25"/>
      <c r="D17" s="26">
        <v>300</v>
      </c>
    </row>
    <row r="18" spans="1:4" ht="20.399999999999999" thickBot="1" x14ac:dyDescent="0.35">
      <c r="B18" s="27" t="s">
        <v>1</v>
      </c>
      <c r="C18" s="28"/>
      <c r="D18" s="29">
        <v>7</v>
      </c>
    </row>
    <row r="19" spans="1:4" ht="19.8" thickBot="1" x14ac:dyDescent="0.35">
      <c r="B19" s="27" t="s">
        <v>2</v>
      </c>
      <c r="C19" s="28"/>
      <c r="D19" s="30">
        <v>1.0789999999999999E-2</v>
      </c>
    </row>
    <row r="20" spans="1:4" ht="19.8" thickBot="1" x14ac:dyDescent="0.35">
      <c r="B20" s="31" t="s">
        <v>3</v>
      </c>
      <c r="C20" s="32"/>
      <c r="D20" s="33">
        <f>FV(taxa_mensal,qtd_anos*12,aporte*-1)</f>
        <v>40685.110202280914</v>
      </c>
    </row>
    <row r="21" spans="1:4" ht="19.8" thickBot="1" x14ac:dyDescent="0.35">
      <c r="B21" s="34" t="s">
        <v>4</v>
      </c>
      <c r="C21" s="35"/>
      <c r="D21" s="36">
        <f>patrimonio*rendimento_carteira</f>
        <v>244.11066121368549</v>
      </c>
    </row>
    <row r="22" spans="1:4" ht="15" thickBot="1" x14ac:dyDescent="0.35"/>
    <row r="23" spans="1:4" ht="24" customHeight="1" x14ac:dyDescent="0.3">
      <c r="B23" s="40" t="s">
        <v>6</v>
      </c>
      <c r="C23" s="41"/>
      <c r="D23" s="42" t="s">
        <v>7</v>
      </c>
    </row>
    <row r="24" spans="1:4" ht="19.8" thickBot="1" x14ac:dyDescent="0.5">
      <c r="A24" s="5">
        <v>2</v>
      </c>
      <c r="B24" s="6" t="s">
        <v>8</v>
      </c>
      <c r="C24" s="7">
        <f>FV($D$19,$A24*12,$D$17*-1)</f>
        <v>8168.2881892935648</v>
      </c>
      <c r="D24" s="8">
        <f>C24*rendimento_carteira</f>
        <v>49.00972913576139</v>
      </c>
    </row>
    <row r="25" spans="1:4" ht="19.8" thickBot="1" x14ac:dyDescent="0.5">
      <c r="A25" s="5">
        <v>5</v>
      </c>
      <c r="B25" s="9" t="s">
        <v>9</v>
      </c>
      <c r="C25" s="10">
        <f>FV($D$19,$A25*12,$D$17*-1)</f>
        <v>25133.074199546292</v>
      </c>
      <c r="D25" s="11">
        <f>C25*rendimento_carteira</f>
        <v>150.79844519727774</v>
      </c>
    </row>
    <row r="26" spans="1:4" ht="19.8" thickBot="1" x14ac:dyDescent="0.5">
      <c r="A26" s="5">
        <v>10</v>
      </c>
      <c r="B26" s="9" t="s">
        <v>10</v>
      </c>
      <c r="C26" s="10">
        <f>FV($D$19,$A26*12,$D$17*-1)</f>
        <v>72985.263759051653</v>
      </c>
      <c r="D26" s="11">
        <f>C26*rendimento_carteira</f>
        <v>437.91158255430992</v>
      </c>
    </row>
    <row r="27" spans="1:4" ht="19.8" thickBot="1" x14ac:dyDescent="0.5">
      <c r="A27" s="5">
        <v>20</v>
      </c>
      <c r="B27" s="9" t="s">
        <v>11</v>
      </c>
      <c r="C27" s="10">
        <f>FV($D$19,$A27*12,$D$17*-1)</f>
        <v>337559.52002912416</v>
      </c>
      <c r="D27" s="11">
        <f>C27*rendimento_carteira</f>
        <v>2025.357120174745</v>
      </c>
    </row>
    <row r="28" spans="1:4" ht="19.8" thickBot="1" x14ac:dyDescent="0.5">
      <c r="A28" s="5">
        <v>30</v>
      </c>
      <c r="B28" s="12" t="s">
        <v>12</v>
      </c>
      <c r="C28" s="13">
        <f>FV($D$19,$A28*12,$D$17*-1)</f>
        <v>1296650.8965014142</v>
      </c>
      <c r="D28" s="14">
        <f>C28*rendimento_carteira</f>
        <v>7779.9053790084854</v>
      </c>
    </row>
    <row r="30" spans="1:4" ht="15" thickBot="1" x14ac:dyDescent="0.35"/>
    <row r="31" spans="1:4" x14ac:dyDescent="0.3">
      <c r="B31" s="46" t="s">
        <v>20</v>
      </c>
      <c r="C31" s="47" t="s">
        <v>16</v>
      </c>
      <c r="D31" s="48"/>
    </row>
    <row r="32" spans="1:4" x14ac:dyDescent="0.3">
      <c r="B32" s="49" t="s">
        <v>19</v>
      </c>
      <c r="C32" s="50">
        <f>aporte</f>
        <v>300</v>
      </c>
      <c r="D32" s="51"/>
    </row>
    <row r="33" spans="2:4" x14ac:dyDescent="0.3">
      <c r="B33" s="1"/>
      <c r="C33" s="2"/>
      <c r="D33" s="3"/>
    </row>
    <row r="34" spans="2:4" x14ac:dyDescent="0.3">
      <c r="B34" s="52" t="s">
        <v>21</v>
      </c>
      <c r="C34" s="53" t="s">
        <v>22</v>
      </c>
      <c r="D34" s="54" t="s">
        <v>23</v>
      </c>
    </row>
    <row r="35" spans="2:4" x14ac:dyDescent="0.3">
      <c r="B35" s="55" t="s">
        <v>24</v>
      </c>
      <c r="C35" s="56">
        <f>VLOOKUP($C$31&amp;"-"&amp;B35,CHAVE!$A:$D,4,FALSE)</f>
        <v>0.3</v>
      </c>
      <c r="D35" s="57">
        <f>C35*$C$32</f>
        <v>90</v>
      </c>
    </row>
    <row r="36" spans="2:4" x14ac:dyDescent="0.3">
      <c r="B36" s="55" t="s">
        <v>25</v>
      </c>
      <c r="C36" s="56">
        <f>VLOOKUP($C$31&amp;"-"&amp;B36,CHAVE!$A:$D,4,FALSE)</f>
        <v>0.5</v>
      </c>
      <c r="D36" s="57">
        <f t="shared" ref="D36:D40" si="0">C36*$C$32</f>
        <v>150</v>
      </c>
    </row>
    <row r="37" spans="2:4" x14ac:dyDescent="0.3">
      <c r="B37" s="55" t="s">
        <v>26</v>
      </c>
      <c r="C37" s="56">
        <f>VLOOKUP($C$31&amp;"-"&amp;B37,CHAVE!$A:$D,4,FALSE)</f>
        <v>0.1</v>
      </c>
      <c r="D37" s="57">
        <f t="shared" si="0"/>
        <v>30</v>
      </c>
    </row>
    <row r="38" spans="2:4" x14ac:dyDescent="0.3">
      <c r="B38" s="55" t="s">
        <v>27</v>
      </c>
      <c r="C38" s="56">
        <f>VLOOKUP($C$31&amp;"-"&amp;B38,CHAVE!$A:$D,4,FALSE)</f>
        <v>0.1</v>
      </c>
      <c r="D38" s="57">
        <f t="shared" si="0"/>
        <v>30</v>
      </c>
    </row>
    <row r="39" spans="2:4" x14ac:dyDescent="0.3">
      <c r="B39" s="55" t="s">
        <v>28</v>
      </c>
      <c r="C39" s="56">
        <f>VLOOKUP($C$31&amp;"-"&amp;B39,CHAVE!$A:$D,4,FALSE)</f>
        <v>0</v>
      </c>
      <c r="D39" s="57">
        <f t="shared" si="0"/>
        <v>0</v>
      </c>
    </row>
    <row r="40" spans="2:4" x14ac:dyDescent="0.3">
      <c r="B40" s="55" t="s">
        <v>29</v>
      </c>
      <c r="C40" s="56">
        <f>VLOOKUP($C$31&amp;"-"&amp;B40,CHAVE!$A:$D,4,FALSE)</f>
        <v>0</v>
      </c>
      <c r="D40" s="57">
        <f t="shared" si="0"/>
        <v>0</v>
      </c>
    </row>
    <row r="41" spans="2:4" ht="15" thickBot="1" x14ac:dyDescent="0.35">
      <c r="B41" s="58"/>
      <c r="C41" s="59"/>
      <c r="D41" s="60">
        <f>SUM(D35:D40)</f>
        <v>300</v>
      </c>
    </row>
  </sheetData>
  <mergeCells count="13">
    <mergeCell ref="C31:D31"/>
    <mergeCell ref="C32:D32"/>
    <mergeCell ref="B12:C12"/>
    <mergeCell ref="B13:C13"/>
    <mergeCell ref="B14:C14"/>
    <mergeCell ref="B11:D11"/>
    <mergeCell ref="B16:C16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1" xr:uid="{09EA7B0C-2622-4B37-B366-784FE5C140AC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8C47-AC19-4B21-B0B8-19DD715C2D6F}">
  <dimension ref="A1:G20"/>
  <sheetViews>
    <sheetView zoomScale="90" zoomScaleNormal="90" workbookViewId="0">
      <selection activeCell="F12" sqref="F12"/>
    </sheetView>
  </sheetViews>
  <sheetFormatPr defaultRowHeight="14.4" x14ac:dyDescent="0.3"/>
  <cols>
    <col min="1" max="1" width="30.33203125" bestFit="1" customWidth="1"/>
    <col min="2" max="2" width="14.44140625" customWidth="1"/>
    <col min="3" max="3" width="19.77734375" customWidth="1"/>
    <col min="6" max="6" width="17.109375" bestFit="1" customWidth="1"/>
    <col min="7" max="7" width="16" bestFit="1" customWidth="1"/>
  </cols>
  <sheetData>
    <row r="1" spans="1:7" ht="15" thickBot="1" x14ac:dyDescent="0.35"/>
    <row r="2" spans="1:7" ht="18.600000000000001" thickBot="1" x14ac:dyDescent="0.4">
      <c r="A2" s="61" t="s">
        <v>31</v>
      </c>
      <c r="B2" s="62" t="s">
        <v>20</v>
      </c>
      <c r="C2" s="62" t="s">
        <v>21</v>
      </c>
      <c r="D2" s="63" t="s">
        <v>30</v>
      </c>
      <c r="G2" s="68" t="s">
        <v>30</v>
      </c>
    </row>
    <row r="3" spans="1:7" ht="16.8" thickTop="1" thickBot="1" x14ac:dyDescent="0.35">
      <c r="A3" s="1" t="str">
        <f>B3&amp;"-"&amp;C3</f>
        <v>Conservador-PAPEL</v>
      </c>
      <c r="B3" s="69" t="s">
        <v>16</v>
      </c>
      <c r="C3" s="69" t="s">
        <v>24</v>
      </c>
      <c r="D3" s="64">
        <v>0.3</v>
      </c>
      <c r="F3" s="66" t="s">
        <v>32</v>
      </c>
      <c r="G3" s="67">
        <f>VLOOKUP(F3,$A:$D,4,FALSE)</f>
        <v>0.35</v>
      </c>
    </row>
    <row r="4" spans="1:7" ht="15" thickTop="1" x14ac:dyDescent="0.3">
      <c r="A4" s="1" t="str">
        <f t="shared" ref="A4:A20" si="0">B4&amp;"-"&amp;C4</f>
        <v>Conservador-TIJOLO</v>
      </c>
      <c r="B4" s="69" t="s">
        <v>16</v>
      </c>
      <c r="C4" s="69" t="s">
        <v>25</v>
      </c>
      <c r="D4" s="64">
        <v>0.5</v>
      </c>
    </row>
    <row r="5" spans="1:7" x14ac:dyDescent="0.3">
      <c r="A5" s="1" t="str">
        <f t="shared" si="0"/>
        <v>Conservador-HÍBRIDOS</v>
      </c>
      <c r="B5" s="69" t="s">
        <v>16</v>
      </c>
      <c r="C5" s="69" t="s">
        <v>26</v>
      </c>
      <c r="D5" s="64">
        <v>0.1</v>
      </c>
    </row>
    <row r="6" spans="1:7" x14ac:dyDescent="0.3">
      <c r="A6" s="1" t="str">
        <f t="shared" si="0"/>
        <v>Conservador-FOFs</v>
      </c>
      <c r="B6" s="69" t="s">
        <v>16</v>
      </c>
      <c r="C6" s="69" t="s">
        <v>27</v>
      </c>
      <c r="D6" s="64">
        <v>0.1</v>
      </c>
    </row>
    <row r="7" spans="1:7" x14ac:dyDescent="0.3">
      <c r="A7" s="1" t="str">
        <f t="shared" si="0"/>
        <v>Conservador-DESENVOLVIMENTO</v>
      </c>
      <c r="B7" s="69" t="s">
        <v>16</v>
      </c>
      <c r="C7" s="69" t="s">
        <v>28</v>
      </c>
      <c r="D7" s="64">
        <v>0</v>
      </c>
    </row>
    <row r="8" spans="1:7" ht="15" thickBot="1" x14ac:dyDescent="0.35">
      <c r="A8" s="4" t="str">
        <f t="shared" si="0"/>
        <v>Conservador-HOTELARIAS</v>
      </c>
      <c r="B8" s="70" t="s">
        <v>16</v>
      </c>
      <c r="C8" s="70" t="s">
        <v>29</v>
      </c>
      <c r="D8" s="65">
        <v>0</v>
      </c>
    </row>
    <row r="9" spans="1:7" x14ac:dyDescent="0.3">
      <c r="A9" s="1" t="str">
        <f t="shared" si="0"/>
        <v>Moderado-PAPEL</v>
      </c>
      <c r="B9" s="69" t="s">
        <v>17</v>
      </c>
      <c r="C9" s="69" t="s">
        <v>24</v>
      </c>
      <c r="D9" s="64">
        <v>0.32</v>
      </c>
    </row>
    <row r="10" spans="1:7" x14ac:dyDescent="0.3">
      <c r="A10" s="1" t="str">
        <f t="shared" si="0"/>
        <v>Moderado-TIJOLO</v>
      </c>
      <c r="B10" s="69" t="s">
        <v>17</v>
      </c>
      <c r="C10" s="69" t="s">
        <v>25</v>
      </c>
      <c r="D10" s="71">
        <v>0.35</v>
      </c>
    </row>
    <row r="11" spans="1:7" x14ac:dyDescent="0.3">
      <c r="A11" s="1" t="str">
        <f t="shared" si="0"/>
        <v>Moderado-HÍBRIDOS</v>
      </c>
      <c r="B11" s="69" t="s">
        <v>17</v>
      </c>
      <c r="C11" s="69" t="s">
        <v>26</v>
      </c>
      <c r="D11" s="64">
        <v>0.08</v>
      </c>
    </row>
    <row r="12" spans="1:7" x14ac:dyDescent="0.3">
      <c r="A12" s="1" t="str">
        <f t="shared" si="0"/>
        <v>Moderado-FOFs</v>
      </c>
      <c r="B12" s="69" t="s">
        <v>17</v>
      </c>
      <c r="C12" s="69" t="s">
        <v>27</v>
      </c>
      <c r="D12" s="64">
        <v>0.05</v>
      </c>
    </row>
    <row r="13" spans="1:7" x14ac:dyDescent="0.3">
      <c r="A13" s="1" t="str">
        <f t="shared" si="0"/>
        <v>Moderado-DESENVOLVIMENTO</v>
      </c>
      <c r="B13" s="69" t="s">
        <v>17</v>
      </c>
      <c r="C13" s="69" t="s">
        <v>28</v>
      </c>
      <c r="D13" s="64">
        <v>0.1</v>
      </c>
    </row>
    <row r="14" spans="1:7" ht="15" thickBot="1" x14ac:dyDescent="0.35">
      <c r="A14" s="4" t="str">
        <f t="shared" si="0"/>
        <v>Moderado-HOTELARIAS</v>
      </c>
      <c r="B14" s="70" t="s">
        <v>17</v>
      </c>
      <c r="C14" s="70" t="s">
        <v>29</v>
      </c>
      <c r="D14" s="65">
        <v>0.1</v>
      </c>
    </row>
    <row r="15" spans="1:7" x14ac:dyDescent="0.3">
      <c r="A15" s="1" t="str">
        <f t="shared" si="0"/>
        <v>Agressivo-PAPEL</v>
      </c>
      <c r="B15" s="69" t="s">
        <v>18</v>
      </c>
      <c r="C15" s="69" t="s">
        <v>24</v>
      </c>
      <c r="D15" s="64">
        <v>0.5</v>
      </c>
    </row>
    <row r="16" spans="1:7" x14ac:dyDescent="0.3">
      <c r="A16" s="1" t="str">
        <f t="shared" si="0"/>
        <v>Agressivo-TIJOLO</v>
      </c>
      <c r="B16" s="69" t="s">
        <v>18</v>
      </c>
      <c r="C16" s="69" t="s">
        <v>25</v>
      </c>
      <c r="D16" s="64">
        <v>0.1</v>
      </c>
    </row>
    <row r="17" spans="1:4" x14ac:dyDescent="0.3">
      <c r="A17" s="1" t="str">
        <f t="shared" si="0"/>
        <v>Agressivo-HÍBRIDOS</v>
      </c>
      <c r="B17" s="69" t="s">
        <v>18</v>
      </c>
      <c r="C17" s="69" t="s">
        <v>26</v>
      </c>
      <c r="D17" s="64">
        <v>0.05</v>
      </c>
    </row>
    <row r="18" spans="1:4" x14ac:dyDescent="0.3">
      <c r="A18" s="1" t="str">
        <f t="shared" si="0"/>
        <v>Agressivo-FOFs</v>
      </c>
      <c r="B18" s="69" t="s">
        <v>18</v>
      </c>
      <c r="C18" s="69" t="s">
        <v>27</v>
      </c>
      <c r="D18" s="64">
        <v>0.05</v>
      </c>
    </row>
    <row r="19" spans="1:4" x14ac:dyDescent="0.3">
      <c r="A19" s="1" t="str">
        <f t="shared" si="0"/>
        <v>Agressivo-DESENVOLVIMENTO</v>
      </c>
      <c r="B19" s="69" t="s">
        <v>18</v>
      </c>
      <c r="C19" s="69" t="s">
        <v>28</v>
      </c>
      <c r="D19" s="64">
        <v>0.2</v>
      </c>
    </row>
    <row r="20" spans="1:4" ht="15" thickBot="1" x14ac:dyDescent="0.35">
      <c r="A20" s="4" t="str">
        <f t="shared" si="0"/>
        <v>Agressivo-HOTELARIAS</v>
      </c>
      <c r="B20" s="70" t="s">
        <v>18</v>
      </c>
      <c r="C20" s="70" t="s">
        <v>29</v>
      </c>
      <c r="D20" s="6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CHAVE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Costa da Silva</dc:creator>
  <cp:lastModifiedBy>Debora Costa da Silva</cp:lastModifiedBy>
  <dcterms:created xsi:type="dcterms:W3CDTF">2026-02-13T23:17:33Z</dcterms:created>
  <dcterms:modified xsi:type="dcterms:W3CDTF">2026-02-14T19:42:39Z</dcterms:modified>
</cp:coreProperties>
</file>